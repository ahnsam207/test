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A18ADF36-60BF-477F-9FDD-E89A51A0D36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6" l="1"/>
  <c r="E12" i="6"/>
  <c r="H12" i="6" s="1"/>
  <c r="H32" i="6" s="1"/>
  <c r="H33" i="6" s="1"/>
  <c r="F12" i="6"/>
  <c r="C13" i="6"/>
  <c r="E13" i="6"/>
  <c r="F13" i="6"/>
  <c r="H13" i="6"/>
  <c r="C14" i="6"/>
  <c r="E14" i="6"/>
  <c r="F14" i="6"/>
  <c r="C15" i="6"/>
  <c r="E15" i="6"/>
  <c r="F15" i="6"/>
  <c r="C16" i="6"/>
  <c r="E16" i="6"/>
  <c r="F16" i="6"/>
  <c r="C17" i="6"/>
  <c r="E17" i="6"/>
  <c r="F17" i="6"/>
  <c r="C18" i="6"/>
  <c r="E18" i="6"/>
  <c r="F18" i="6"/>
  <c r="C19" i="6"/>
  <c r="E19" i="6"/>
  <c r="F19" i="6"/>
  <c r="C20" i="6"/>
  <c r="E20" i="6"/>
  <c r="F20" i="6"/>
  <c r="C21" i="6"/>
  <c r="E21" i="6"/>
  <c r="F21" i="6"/>
  <c r="C22" i="6"/>
  <c r="E22" i="6"/>
  <c r="F22" i="6"/>
  <c r="C23" i="6"/>
  <c r="E23" i="6"/>
  <c r="F23" i="6"/>
  <c r="C24" i="6"/>
  <c r="E24" i="6"/>
  <c r="F24" i="6"/>
  <c r="C25" i="6"/>
  <c r="E25" i="6"/>
  <c r="F25" i="6"/>
  <c r="C26" i="6"/>
  <c r="E26" i="6"/>
  <c r="F26" i="6"/>
  <c r="C27" i="6"/>
  <c r="E27" i="6"/>
  <c r="F27" i="6"/>
  <c r="C28" i="6"/>
  <c r="E28" i="6"/>
  <c r="F28" i="6"/>
  <c r="C29" i="6"/>
  <c r="E29" i="6"/>
  <c r="F29" i="6"/>
  <c r="C30" i="6"/>
  <c r="E30" i="6"/>
  <c r="F30" i="6"/>
  <c r="B6" i="6"/>
  <c r="F39" i="6" s="1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<sst xmlns="http://schemas.openxmlformats.org/spreadsheetml/2006/main" count="58" uniqueCount="49">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</sst>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#,##0_);[Red]\(#,##0\)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34</xdr:row>
          <xdr:rowOff>15240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F39" sqref="F39:G39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3.8" customHeight="1" thickBot="1">
      <c r="D4" s="8"/>
    </row>
    <row r="5" spans="1:52" ht="17.25" customHeight="1">
      <c r="B5" s="66"/>
      <c r="C5" s="66"/>
      <c r="D5" s="67" t="s">
        <v>38</v>
      </c>
      <c r="E5" s="9" t="s">
        <v>39</v>
      </c>
      <c r="F5" s="82" t="s">
        <v>44</v>
      </c>
      <c r="G5" s="83"/>
      <c r="H5" s="84"/>
      <c r="I5" s="60"/>
    </row>
    <row r="6" spans="1:52" ht="31.2">
      <c r="B6" s="90">
        <f ca="1">TODAY()</f>
        <v>45755</v>
      </c>
      <c r="C6" s="91"/>
      <c r="D6" s="68"/>
      <c r="E6" s="10" t="s">
        <v>40</v>
      </c>
      <c r="F6" s="11" t="s">
        <v>45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68"/>
      <c r="E7" s="11" t="s">
        <v>41</v>
      </c>
      <c r="F7" s="70" t="s">
        <v>46</v>
      </c>
      <c r="G7" s="71"/>
      <c r="H7" s="72"/>
      <c r="I7" s="61"/>
    </row>
    <row r="8" spans="1:52" ht="28.2" customHeight="1" thickBot="1">
      <c r="B8" s="14"/>
      <c r="C8" s="14"/>
      <c r="D8" s="69"/>
      <c r="E8" s="21" t="s">
        <v>42</v>
      </c>
      <c r="F8" s="73" t="s">
        <v>43</v>
      </c>
      <c r="G8" s="74"/>
      <c r="H8" s="75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272250</v>
      </c>
      <c r="F10" s="92"/>
      <c r="G10" s="92"/>
      <c r="H10" s="38" t="s">
        <v>25</v>
      </c>
    </row>
    <row r="11" spans="1:52" ht="18" customHeight="1">
      <c r="B11" s="39" t="s">
        <v>26</v>
      </c>
      <c r="C11" s="85" t="s">
        <v>3</v>
      </c>
      <c r="D11" s="86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101</v>
      </c>
      <c r="C12" s="80" t="str">
        <f>IFERROR(INDEX(상품목록,MATCH(B12,상품번호,0),2),"")</f>
        <v>부사</v>
      </c>
      <c r="D12" s="81"/>
      <c r="E12" s="40">
        <f>IFERROR(INDEX(상품목록,MATCH(B12,상품번호,0),4),"")</f>
        <v>60000</v>
      </c>
      <c r="F12" s="16" t="str">
        <f>IFERROR(INDEX(상품목록,MATCH(B12,상품번호,0),3),"")</f>
        <v>Box</v>
      </c>
      <c r="G12" s="41">
        <v>4</v>
      </c>
      <c r="H12" s="42">
        <f>E12*G12</f>
        <v>240000</v>
      </c>
      <c r="I12" s="62"/>
    </row>
    <row r="13" spans="1:52">
      <c r="B13" s="17">
        <v>102</v>
      </c>
      <c r="C13" s="80" t="str">
        <f>IFERROR(INDEX(상품목록,MATCH(B13,상품번호,0),2),"")</f>
        <v>토마토</v>
      </c>
      <c r="D13" s="81"/>
      <c r="E13" s="40">
        <f>IFERROR(INDEX(상품목록,MATCH(B13,상품번호,0),4),"")</f>
        <v>1500</v>
      </c>
      <c r="F13" s="16" t="str">
        <f>IFERROR(INDEX(상품목록,MATCH(B13,상품번호,0),3),"")</f>
        <v>Kg</v>
      </c>
      <c r="G13" s="41">
        <v>5</v>
      </c>
      <c r="H13" s="42">
        <f t="shared" ref="H13" si="0">E13*G13</f>
        <v>7500</v>
      </c>
      <c r="I13" s="62"/>
    </row>
    <row r="14" spans="1:52">
      <c r="B14" s="17"/>
      <c r="C14" s="80" t="str">
        <f>IFERROR(INDEX(상품목록,MATCH(B14,상품번호,0),2),"")</f>
        <v/>
      </c>
      <c r="D14" s="81"/>
      <c r="E14" s="40" t="str">
        <f>IFERROR(INDEX(상품목록,MATCH(B14,상품번호,0),4),"")</f>
        <v/>
      </c>
      <c r="F14" s="16" t="str">
        <f>IFERROR(INDEX(상품목록,MATCH(B14,상품번호,0),3),"")</f>
        <v/>
      </c>
      <c r="G14" s="43"/>
      <c r="H14" s="42"/>
      <c r="I14" s="62"/>
    </row>
    <row r="15" spans="1:52">
      <c r="B15" s="17"/>
      <c r="C15" s="80" t="str">
        <f>IFERROR(INDEX(상품목록,MATCH(B15,상품번호,0),2),"")</f>
        <v/>
      </c>
      <c r="D15" s="81"/>
      <c r="E15" s="40" t="str">
        <f>IFERROR(INDEX(상품목록,MATCH(B15,상품번호,0),4),"")</f>
        <v/>
      </c>
      <c r="F15" s="16" t="str">
        <f>IFERROR(INDEX(상품목록,MATCH(B15,상품번호,0),3),"")</f>
        <v/>
      </c>
      <c r="G15" s="43"/>
      <c r="H15" s="42"/>
      <c r="I15" s="62"/>
    </row>
    <row r="16" spans="1:52">
      <c r="B16" s="17"/>
      <c r="C16" s="80" t="str">
        <f>IFERROR(INDEX(상품목록,MATCH(B16,상품번호,0),2),"")</f>
        <v/>
      </c>
      <c r="D16" s="81"/>
      <c r="E16" s="40" t="str">
        <f>IFERROR(INDEX(상품목록,MATCH(B16,상품번호,0),4),"")</f>
        <v/>
      </c>
      <c r="F16" s="16" t="str">
        <f>IFERROR(INDEX(상품목록,MATCH(B16,상품번호,0),3),"")</f>
        <v/>
      </c>
      <c r="G16" s="43"/>
      <c r="H16" s="42"/>
      <c r="I16" s="62"/>
    </row>
    <row r="17" spans="2:12">
      <c r="B17" s="17"/>
      <c r="C17" s="80" t="str">
        <f>IFERROR(INDEX(상품목록,MATCH(B17,상품번호,0),2),"")</f>
        <v/>
      </c>
      <c r="D17" s="81"/>
      <c r="E17" s="40" t="str">
        <f>IFERROR(INDEX(상품목록,MATCH(B17,상품번호,0),4),"")</f>
        <v/>
      </c>
      <c r="F17" s="16" t="str">
        <f>IFERROR(INDEX(상품목록,MATCH(B17,상품번호,0),3),"")</f>
        <v/>
      </c>
      <c r="G17" s="43"/>
      <c r="H17" s="42"/>
      <c r="I17" s="62"/>
    </row>
    <row r="18" spans="2:12">
      <c r="B18" s="17"/>
      <c r="C18" s="80" t="str">
        <f>IFERROR(INDEX(상품목록,MATCH(B18,상품번호,0),2),"")</f>
        <v/>
      </c>
      <c r="D18" s="81"/>
      <c r="E18" s="40" t="str">
        <f>IFERROR(INDEX(상품목록,MATCH(B18,상품번호,0),4),"")</f>
        <v/>
      </c>
      <c r="F18" s="16" t="str">
        <f>IFERROR(INDEX(상품목록,MATCH(B18,상품번호,0),3),"")</f>
        <v/>
      </c>
      <c r="G18" s="43"/>
      <c r="H18" s="42"/>
      <c r="I18" s="62"/>
    </row>
    <row r="19" spans="2:12">
      <c r="B19" s="17"/>
      <c r="C19" s="80" t="str">
        <f>IFERROR(INDEX(상품목록,MATCH(B19,상품번호,0),2),"")</f>
        <v/>
      </c>
      <c r="D19" s="81"/>
      <c r="E19" s="40" t="str">
        <f>IFERROR(INDEX(상품목록,MATCH(B19,상품번호,0),4),"")</f>
        <v/>
      </c>
      <c r="F19" s="16" t="str">
        <f>IFERROR(INDEX(상품목록,MATCH(B19,상품번호,0),3),"")</f>
        <v/>
      </c>
      <c r="G19" s="43"/>
      <c r="H19" s="42"/>
      <c r="I19" s="62"/>
    </row>
    <row r="20" spans="2:12">
      <c r="B20" s="17"/>
      <c r="C20" s="80" t="str">
        <f>IFERROR(INDEX(상품목록,MATCH(B20,상품번호,0),2),"")</f>
        <v/>
      </c>
      <c r="D20" s="81"/>
      <c r="E20" s="40" t="str">
        <f>IFERROR(INDEX(상품목록,MATCH(B20,상품번호,0),4),"")</f>
        <v/>
      </c>
      <c r="F20" s="16" t="str">
        <f>IFERROR(INDEX(상품목록,MATCH(B20,상품번호,0),3),"")</f>
        <v/>
      </c>
      <c r="G20" s="43"/>
      <c r="H20" s="42"/>
      <c r="I20" s="62"/>
    </row>
    <row r="21" spans="2:12">
      <c r="B21" s="17"/>
      <c r="C21" s="80" t="str">
        <f>IFERROR(INDEX(상품목록,MATCH(B21,상품번호,0),2),"")</f>
        <v/>
      </c>
      <c r="D21" s="81"/>
      <c r="E21" s="40" t="str">
        <f>IFERROR(INDEX(상품목록,MATCH(B21,상품번호,0),4),"")</f>
        <v/>
      </c>
      <c r="F21" s="16" t="str">
        <f>IFERROR(INDEX(상품목록,MATCH(B21,상품번호,0),3),"")</f>
        <v/>
      </c>
      <c r="G21" s="43"/>
      <c r="H21" s="42"/>
      <c r="I21" s="62"/>
    </row>
    <row r="22" spans="2:12">
      <c r="B22" s="17"/>
      <c r="C22" s="80" t="str">
        <f>IFERROR(INDEX(상품목록,MATCH(B22,상품번호,0),2),"")</f>
        <v/>
      </c>
      <c r="D22" s="81"/>
      <c r="E22" s="40" t="str">
        <f>IFERROR(INDEX(상품목록,MATCH(B22,상품번호,0),4),"")</f>
        <v/>
      </c>
      <c r="F22" s="16" t="str">
        <f>IFERROR(INDEX(상품목록,MATCH(B22,상품번호,0),3),"")</f>
        <v/>
      </c>
      <c r="G22" s="43"/>
      <c r="H22" s="42"/>
      <c r="I22" s="62"/>
    </row>
    <row r="23" spans="2:12">
      <c r="B23" s="17"/>
      <c r="C23" s="80" t="str">
        <f>IFERROR(INDEX(상품목록,MATCH(B23,상품번호,0),2),"")</f>
        <v/>
      </c>
      <c r="D23" s="81"/>
      <c r="E23" s="40" t="str">
        <f>IFERROR(INDEX(상품목록,MATCH(B23,상품번호,0),4),"")</f>
        <v/>
      </c>
      <c r="F23" s="16" t="str">
        <f>IFERROR(INDEX(상품목록,MATCH(B23,상품번호,0),3),"")</f>
        <v/>
      </c>
      <c r="G23" s="43"/>
      <c r="H23" s="42"/>
      <c r="I23" s="62"/>
    </row>
    <row r="24" spans="2:12">
      <c r="B24" s="17"/>
      <c r="C24" s="80" t="str">
        <f>IFERROR(INDEX(상품목록,MATCH(B24,상품번호,0),2),"")</f>
        <v/>
      </c>
      <c r="D24" s="81"/>
      <c r="E24" s="40" t="str">
        <f>IFERROR(INDEX(상품목록,MATCH(B24,상품번호,0),4),"")</f>
        <v/>
      </c>
      <c r="F24" s="16" t="str">
        <f>IFERROR(INDEX(상품목록,MATCH(B24,상품번호,0),3),"")</f>
        <v/>
      </c>
      <c r="G24" s="43"/>
      <c r="H24" s="42"/>
      <c r="I24" s="62"/>
    </row>
    <row r="25" spans="2:12">
      <c r="B25" s="17"/>
      <c r="C25" s="80" t="str">
        <f>IFERROR(INDEX(상품목록,MATCH(B25,상품번호,0),2),"")</f>
        <v/>
      </c>
      <c r="D25" s="81"/>
      <c r="E25" s="40" t="str">
        <f>IFERROR(INDEX(상품목록,MATCH(B25,상품번호,0),4),"")</f>
        <v/>
      </c>
      <c r="F25" s="16" t="str">
        <f>IFERROR(INDEX(상품목록,MATCH(B25,상품번호,0),3),"")</f>
        <v/>
      </c>
      <c r="G25" s="43"/>
      <c r="H25" s="42"/>
      <c r="I25" s="62"/>
    </row>
    <row r="26" spans="2:12">
      <c r="B26" s="17"/>
      <c r="C26" s="80" t="str">
        <f>IFERROR(INDEX(상품목록,MATCH(B26,상품번호,0),2),"")</f>
        <v/>
      </c>
      <c r="D26" s="81"/>
      <c r="E26" s="40" t="str">
        <f>IFERROR(INDEX(상품목록,MATCH(B26,상품번호,0),4),"")</f>
        <v/>
      </c>
      <c r="F26" s="16" t="str">
        <f>IFERROR(INDEX(상품목록,MATCH(B26,상품번호,0),3),"")</f>
        <v/>
      </c>
      <c r="G26" s="43"/>
      <c r="H26" s="42"/>
      <c r="I26" s="62"/>
    </row>
    <row r="27" spans="2:12">
      <c r="B27" s="17"/>
      <c r="C27" s="80" t="str">
        <f>IFERROR(INDEX(상품목록,MATCH(B27,상품번호,0),2),"")</f>
        <v/>
      </c>
      <c r="D27" s="81"/>
      <c r="E27" s="40" t="str">
        <f>IFERROR(INDEX(상품목록,MATCH(B27,상품번호,0),4),"")</f>
        <v/>
      </c>
      <c r="F27" s="16" t="str">
        <f>IFERROR(INDEX(상품목록,MATCH(B27,상품번호,0),3),"")</f>
        <v/>
      </c>
      <c r="G27" s="43"/>
      <c r="H27" s="42"/>
      <c r="I27" s="62"/>
    </row>
    <row r="28" spans="2:12">
      <c r="B28" s="17"/>
      <c r="C28" s="80" t="str">
        <f>IFERROR(INDEX(상품목록,MATCH(B28,상품번호,0),2),"")</f>
        <v/>
      </c>
      <c r="D28" s="81"/>
      <c r="E28" s="40" t="str">
        <f>IFERROR(INDEX(상품목록,MATCH(B28,상품번호,0),4),"")</f>
        <v/>
      </c>
      <c r="F28" s="16" t="str">
        <f>IFERROR(INDEX(상품목록,MATCH(B28,상품번호,0),3),"")</f>
        <v/>
      </c>
      <c r="G28" s="43"/>
      <c r="H28" s="42"/>
      <c r="I28" s="62"/>
      <c r="J28" s="44"/>
      <c r="L28" s="44"/>
    </row>
    <row r="29" spans="2:12">
      <c r="B29" s="17"/>
      <c r="C29" s="80" t="str">
        <f>IFERROR(INDEX(상품목록,MATCH(B29,상품번호,0),2),"")</f>
        <v/>
      </c>
      <c r="D29" s="81"/>
      <c r="E29" s="40" t="str">
        <f>IFERROR(INDEX(상품목록,MATCH(B29,상품번호,0),4),"")</f>
        <v/>
      </c>
      <c r="F29" s="16" t="str">
        <f>IFERROR(INDEX(상품목록,MATCH(B29,상품번호,0),3),"")</f>
        <v/>
      </c>
      <c r="G29" s="43"/>
      <c r="H29" s="42"/>
      <c r="I29" s="62"/>
      <c r="J29" s="44"/>
      <c r="L29" s="44"/>
    </row>
    <row r="30" spans="2:12">
      <c r="B30" s="17"/>
      <c r="C30" s="80" t="str">
        <f>IFERROR(INDEX(상품목록,MATCH(B30,상품번호,0),2),"")</f>
        <v/>
      </c>
      <c r="D30" s="81"/>
      <c r="E30" s="40" t="str">
        <f>IFERROR(INDEX(상품목록,MATCH(B30,상품번호,0),4),"")</f>
        <v/>
      </c>
      <c r="F30" s="16" t="str">
        <f>IFERROR(INDEX(상품목록,MATCH(B30,상품번호,0),3),"")</f>
        <v/>
      </c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247500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24750</v>
      </c>
      <c r="I33" s="45"/>
      <c r="J33" s="44"/>
      <c r="K33" s="44"/>
      <c r="L33" s="44"/>
    </row>
    <row r="34" spans="4:12">
      <c r="F34" s="78" t="s">
        <v>32</v>
      </c>
      <c r="G34" s="78"/>
      <c r="H34" s="47"/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272250</v>
      </c>
      <c r="I35" s="45"/>
      <c r="J35" s="49"/>
      <c r="K35" s="44" t="b">
        <v>1</v>
      </c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>
        <f ca="1">B6+10</f>
        <v>45765</v>
      </c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15240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D19" sqref="D19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7" t="s">
        <v>0</v>
      </c>
      <c r="C2" s="88"/>
      <c r="D2" s="88"/>
      <c r="E2" s="89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C6" sqref="C6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7" t="s">
        <v>1</v>
      </c>
      <c r="D2" s="89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2025-04-08T03:08:35Z</dcterms:modified>
  <cp:category/>
  <cp:contentStatus/>
</cp:coreProperties>
</file>