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E7CE010F-DF99-4AF2-8894-9386A536796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6" l="1"/>
  <c r="F39" i="6" s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9" i="6"/>
  <c r="H30" i="6"/>
  <c r="H12" i="6"/>
  <c r="H32" i="6" l="1"/>
  <c r="H33" i="6" l="1"/>
  <c r="H34" i="6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<sst xmlns="http://schemas.openxmlformats.org/spreadsheetml/2006/main" count="58" uniqueCount="49">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</sst>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2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0</xdr:row>
      <xdr:rowOff>53340</xdr:rowOff>
    </xdr:from>
    <xdr:to>
      <xdr:col>7</xdr:col>
      <xdr:colOff>662940</xdr:colOff>
      <xdr:row>3</xdr:row>
      <xdr:rowOff>15240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DA2F4556-E774-45E1-9D4B-0E641DFA0DB6}"/>
            </a:ext>
          </a:extLst>
        </xdr:cNvPr>
        <xdr:cNvSpPr/>
      </xdr:nvSpPr>
      <xdr:spPr>
        <a:xfrm>
          <a:off x="1120140" y="53340"/>
          <a:ext cx="4541520" cy="6477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600"/>
            <a:t>♣견적서</a:t>
          </a:r>
          <a:r>
            <a:rPr lang="ko-KR" altLang="ko-KR" sz="3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3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 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</xdr:row>
          <xdr:rowOff>22860</xdr:rowOff>
        </xdr:from>
        <xdr:to>
          <xdr:col>10</xdr:col>
          <xdr:colOff>83820</xdr:colOff>
          <xdr:row>2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1"/>
  <sheetViews>
    <sheetView tabSelected="1" zoomScaleNormal="100" workbookViewId="0">
      <selection activeCell="J10" sqref="J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5"/>
      <c r="C5" s="65"/>
      <c r="D5" s="86" t="s">
        <v>38</v>
      </c>
      <c r="E5" s="9" t="s">
        <v>39</v>
      </c>
      <c r="F5" s="78" t="s">
        <v>43</v>
      </c>
      <c r="G5" s="79"/>
      <c r="H5" s="80"/>
      <c r="I5" s="59"/>
    </row>
    <row r="6" spans="1:52" ht="31.2">
      <c r="B6" s="89">
        <f ca="1">TODAY()</f>
        <v>45755</v>
      </c>
      <c r="C6" s="90"/>
      <c r="D6" s="87"/>
      <c r="E6" s="10" t="s">
        <v>40</v>
      </c>
      <c r="F6" s="11" t="s">
        <v>44</v>
      </c>
      <c r="G6" s="11" t="s">
        <v>45</v>
      </c>
      <c r="H6" s="12" t="s">
        <v>46</v>
      </c>
      <c r="I6" s="60"/>
    </row>
    <row r="7" spans="1:52" ht="16.5" customHeight="1">
      <c r="B7" s="13"/>
      <c r="C7" s="13"/>
      <c r="D7" s="87"/>
      <c r="E7" s="11" t="s">
        <v>41</v>
      </c>
      <c r="F7" s="66" t="s">
        <v>47</v>
      </c>
      <c r="G7" s="67"/>
      <c r="H7" s="68"/>
      <c r="I7" s="60"/>
    </row>
    <row r="8" spans="1:52" ht="16.5" customHeight="1" thickBot="1">
      <c r="B8" s="14"/>
      <c r="C8" s="14"/>
      <c r="D8" s="88"/>
      <c r="E8" s="20" t="s">
        <v>42</v>
      </c>
      <c r="F8" s="69" t="s">
        <v>48</v>
      </c>
      <c r="G8" s="70"/>
      <c r="H8" s="71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3"/>
      <c r="D10" s="36" t="s">
        <v>24</v>
      </c>
      <c r="E10" s="91">
        <f>H35</f>
        <v>5000</v>
      </c>
      <c r="F10" s="91"/>
      <c r="G10" s="91"/>
      <c r="H10" s="37" t="s">
        <v>25</v>
      </c>
    </row>
    <row r="11" spans="1:52" ht="18" customHeight="1">
      <c r="B11" s="38" t="s">
        <v>26</v>
      </c>
      <c r="C11" s="81" t="s">
        <v>3</v>
      </c>
      <c r="D11" s="82"/>
      <c r="E11" s="64" t="s">
        <v>5</v>
      </c>
      <c r="F11" s="64" t="s">
        <v>28</v>
      </c>
      <c r="G11" s="64" t="s">
        <v>27</v>
      </c>
      <c r="H11" s="64" t="s">
        <v>29</v>
      </c>
      <c r="I11" s="61"/>
    </row>
    <row r="12" spans="1:52">
      <c r="B12" s="16"/>
      <c r="C12" s="76"/>
      <c r="D12" s="77"/>
      <c r="E12" s="39"/>
      <c r="F12" s="16" t="str">
        <f>IFERROR(VLOOKUP(B12,상품목록,3,FALSE),"")</f>
        <v/>
      </c>
      <c r="G12" s="40">
        <v>1</v>
      </c>
      <c r="H12" s="41">
        <f>IFERROR(E12*G12,"")</f>
        <v>0</v>
      </c>
      <c r="I12" s="61"/>
    </row>
    <row r="13" spans="1:52">
      <c r="B13" s="16"/>
      <c r="C13" s="76"/>
      <c r="D13" s="77"/>
      <c r="E13" s="39"/>
      <c r="F13" s="16" t="str">
        <f>IFERROR(VLOOKUP(B13,상품목록,3,FALSE),"")</f>
        <v/>
      </c>
      <c r="G13" s="40"/>
      <c r="H13" s="41">
        <f t="shared" ref="H13:H30" si="0">IFERROR(E13*G13,"")</f>
        <v>0</v>
      </c>
      <c r="I13" s="61"/>
    </row>
    <row r="14" spans="1:52">
      <c r="B14" s="16"/>
      <c r="C14" s="76"/>
      <c r="D14" s="77"/>
      <c r="E14" s="39"/>
      <c r="F14" s="16" t="str">
        <f>IFERROR(VLOOKUP(B14,상품목록,3,FALSE),"")</f>
        <v/>
      </c>
      <c r="G14" s="42"/>
      <c r="H14" s="41">
        <f t="shared" si="0"/>
        <v>0</v>
      </c>
      <c r="I14" s="61"/>
    </row>
    <row r="15" spans="1:52">
      <c r="B15" s="16"/>
      <c r="C15" s="76"/>
      <c r="D15" s="77"/>
      <c r="E15" s="39"/>
      <c r="F15" s="16" t="str">
        <f>IFERROR(VLOOKUP(B15,상품목록,3,FALSE),"")</f>
        <v/>
      </c>
      <c r="G15" s="42"/>
      <c r="H15" s="41">
        <f t="shared" si="0"/>
        <v>0</v>
      </c>
      <c r="I15" s="61"/>
    </row>
    <row r="16" spans="1:52">
      <c r="B16" s="16"/>
      <c r="C16" s="76"/>
      <c r="D16" s="77"/>
      <c r="E16" s="39"/>
      <c r="F16" s="16" t="str">
        <f>IFERROR(VLOOKUP(B16,상품목록,3,FALSE),"")</f>
        <v/>
      </c>
      <c r="G16" s="42"/>
      <c r="H16" s="41">
        <f t="shared" si="0"/>
        <v>0</v>
      </c>
      <c r="I16" s="61"/>
    </row>
    <row r="17" spans="2:12">
      <c r="B17" s="16"/>
      <c r="C17" s="76"/>
      <c r="D17" s="77"/>
      <c r="E17" s="39"/>
      <c r="F17" s="16" t="str">
        <f>IFERROR(VLOOKUP(B17,상품목록,3,FALSE),"")</f>
        <v/>
      </c>
      <c r="G17" s="42"/>
      <c r="H17" s="41">
        <f t="shared" si="0"/>
        <v>0</v>
      </c>
      <c r="I17" s="61"/>
    </row>
    <row r="18" spans="2:12">
      <c r="B18" s="16"/>
      <c r="C18" s="76"/>
      <c r="D18" s="77"/>
      <c r="E18" s="39"/>
      <c r="F18" s="16" t="str">
        <f>IFERROR(VLOOKUP(B18,상품목록,3,FALSE),"")</f>
        <v/>
      </c>
      <c r="G18" s="42"/>
      <c r="H18" s="41">
        <f t="shared" si="0"/>
        <v>0</v>
      </c>
      <c r="I18" s="61"/>
    </row>
    <row r="19" spans="2:12">
      <c r="B19" s="16"/>
      <c r="C19" s="76"/>
      <c r="D19" s="77"/>
      <c r="E19" s="39"/>
      <c r="F19" s="16" t="str">
        <f>IFERROR(VLOOKUP(B19,상품목록,3,FALSE),"")</f>
        <v/>
      </c>
      <c r="G19" s="42"/>
      <c r="H19" s="41">
        <f t="shared" si="0"/>
        <v>0</v>
      </c>
      <c r="I19" s="61"/>
    </row>
    <row r="20" spans="2:12">
      <c r="B20" s="16"/>
      <c r="C20" s="76"/>
      <c r="D20" s="77"/>
      <c r="E20" s="39"/>
      <c r="F20" s="16" t="str">
        <f>IFERROR(VLOOKUP(B20,상품목록,3,FALSE),"")</f>
        <v/>
      </c>
      <c r="G20" s="42"/>
      <c r="H20" s="41">
        <f t="shared" si="0"/>
        <v>0</v>
      </c>
      <c r="I20" s="61"/>
    </row>
    <row r="21" spans="2:12">
      <c r="B21" s="16"/>
      <c r="C21" s="76"/>
      <c r="D21" s="77"/>
      <c r="E21" s="39"/>
      <c r="F21" s="16" t="str">
        <f>IFERROR(VLOOKUP(B21,상품목록,3,FALSE),"")</f>
        <v/>
      </c>
      <c r="G21" s="42"/>
      <c r="H21" s="41">
        <f t="shared" si="0"/>
        <v>0</v>
      </c>
      <c r="I21" s="61"/>
    </row>
    <row r="22" spans="2:12">
      <c r="B22" s="16"/>
      <c r="C22" s="76"/>
      <c r="D22" s="77"/>
      <c r="E22" s="39"/>
      <c r="F22" s="16" t="str">
        <f>IFERROR(VLOOKUP(B22,상품목록,3,FALSE),"")</f>
        <v/>
      </c>
      <c r="G22" s="42"/>
      <c r="H22" s="41">
        <f t="shared" si="0"/>
        <v>0</v>
      </c>
      <c r="I22" s="61"/>
    </row>
    <row r="23" spans="2:12">
      <c r="B23" s="16"/>
      <c r="C23" s="76"/>
      <c r="D23" s="77"/>
      <c r="E23" s="39"/>
      <c r="F23" s="16" t="str">
        <f>IFERROR(VLOOKUP(B23,상품목록,3,FALSE),"")</f>
        <v/>
      </c>
      <c r="G23" s="42"/>
      <c r="H23" s="41">
        <f t="shared" si="0"/>
        <v>0</v>
      </c>
      <c r="I23" s="61"/>
    </row>
    <row r="24" spans="2:12">
      <c r="B24" s="16"/>
      <c r="C24" s="76"/>
      <c r="D24" s="77"/>
      <c r="E24" s="39"/>
      <c r="F24" s="16" t="str">
        <f>IFERROR(VLOOKUP(B24,상품목록,3,FALSE),"")</f>
        <v/>
      </c>
      <c r="G24" s="42"/>
      <c r="H24" s="41">
        <f t="shared" si="0"/>
        <v>0</v>
      </c>
      <c r="I24" s="61"/>
    </row>
    <row r="25" spans="2:12">
      <c r="B25" s="16"/>
      <c r="C25" s="76"/>
      <c r="D25" s="77"/>
      <c r="E25" s="39"/>
      <c r="F25" s="16" t="str">
        <f>IFERROR(VLOOKUP(B25,상품목록,3,FALSE),"")</f>
        <v/>
      </c>
      <c r="G25" s="42"/>
      <c r="H25" s="41">
        <f t="shared" si="0"/>
        <v>0</v>
      </c>
      <c r="I25" s="61"/>
    </row>
    <row r="26" spans="2:12">
      <c r="B26" s="16"/>
      <c r="C26" s="76"/>
      <c r="D26" s="77"/>
      <c r="E26" s="39"/>
      <c r="F26" s="16" t="str">
        <f>IFERROR(VLOOKUP(B26,상품목록,3,FALSE),"")</f>
        <v/>
      </c>
      <c r="G26" s="42"/>
      <c r="H26" s="41">
        <f t="shared" si="0"/>
        <v>0</v>
      </c>
      <c r="I26" s="61"/>
    </row>
    <row r="27" spans="2:12">
      <c r="B27" s="16"/>
      <c r="C27" s="76"/>
      <c r="D27" s="77"/>
      <c r="E27" s="39"/>
      <c r="F27" s="16" t="str">
        <f>IFERROR(VLOOKUP(B27,상품목록,3,FALSE),"")</f>
        <v/>
      </c>
      <c r="G27" s="42"/>
      <c r="H27" s="41">
        <f t="shared" si="0"/>
        <v>0</v>
      </c>
      <c r="I27" s="61"/>
    </row>
    <row r="28" spans="2:12">
      <c r="B28" s="16"/>
      <c r="C28" s="76"/>
      <c r="D28" s="77"/>
      <c r="E28" s="39"/>
      <c r="F28" s="16" t="str">
        <f>IFERROR(VLOOKUP(B28,상품목록,3,FALSE),"")</f>
        <v/>
      </c>
      <c r="G28" s="42"/>
      <c r="H28" s="41"/>
      <c r="I28" s="61"/>
      <c r="J28" s="43"/>
      <c r="L28" s="43"/>
    </row>
    <row r="29" spans="2:12">
      <c r="B29" s="16"/>
      <c r="C29" s="76"/>
      <c r="D29" s="77"/>
      <c r="E29" s="39"/>
      <c r="F29" s="16" t="str">
        <f>IFERROR(VLOOKUP(B29,상품목록,3,FALSE),"")</f>
        <v/>
      </c>
      <c r="G29" s="42"/>
      <c r="H29" s="41">
        <f t="shared" si="0"/>
        <v>0</v>
      </c>
      <c r="I29" s="61"/>
      <c r="J29" s="43"/>
      <c r="L29" s="43"/>
    </row>
    <row r="30" spans="2:12">
      <c r="B30" s="16"/>
      <c r="C30" s="76"/>
      <c r="D30" s="77"/>
      <c r="E30" s="39"/>
      <c r="F30" s="16" t="str">
        <f>IFERROR(VLOOKUP(B30,상품목록,3,FALSE),"")</f>
        <v/>
      </c>
      <c r="G30" s="42"/>
      <c r="H30" s="41">
        <f t="shared" si="0"/>
        <v>0</v>
      </c>
      <c r="I30" s="61"/>
      <c r="J30" s="43"/>
      <c r="L30" s="43"/>
    </row>
    <row r="31" spans="2:12">
      <c r="H31" s="44"/>
      <c r="I31" s="44"/>
      <c r="J31" s="43"/>
      <c r="K31" s="43"/>
      <c r="L31" s="43"/>
    </row>
    <row r="32" spans="2:12">
      <c r="F32" s="72" t="s">
        <v>30</v>
      </c>
      <c r="G32" s="73"/>
      <c r="H32" s="45">
        <f>IFERROR(SUM(H12:H30),"")</f>
        <v>0</v>
      </c>
      <c r="I32" s="44"/>
      <c r="K32" s="43"/>
      <c r="L32" s="43"/>
    </row>
    <row r="33" spans="4:12">
      <c r="F33" s="72" t="s">
        <v>31</v>
      </c>
      <c r="G33" s="73"/>
      <c r="H33" s="45">
        <f>IFERROR(H32*0.1,"")</f>
        <v>0</v>
      </c>
      <c r="I33" s="44"/>
      <c r="J33" s="43"/>
      <c r="K33" s="43"/>
      <c r="L33" s="43"/>
    </row>
    <row r="34" spans="4:12">
      <c r="F34" s="74" t="s">
        <v>32</v>
      </c>
      <c r="G34" s="74"/>
      <c r="H34" s="46">
        <f>IFERROR(IF(K35=TRUE,0,VLOOKUP(H32,배송요금,3,TRUE)),"")</f>
        <v>5000</v>
      </c>
      <c r="I34" s="62"/>
      <c r="J34" s="47" t="s">
        <v>33</v>
      </c>
      <c r="K34" s="43"/>
      <c r="L34" s="43"/>
    </row>
    <row r="35" spans="4:12">
      <c r="F35" s="72" t="s">
        <v>34</v>
      </c>
      <c r="G35" s="73"/>
      <c r="H35" s="45">
        <f>IFERROR(SUM(H32:H34),"")</f>
        <v>5000</v>
      </c>
      <c r="I35" s="44"/>
      <c r="J35" s="43"/>
      <c r="K35" s="48" t="b">
        <v>0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75">
        <f ca="1">B6+10</f>
        <v>45765</v>
      </c>
      <c r="G39" s="75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매크로1">
                <anchor moveWithCells="1" sizeWithCells="1">
                  <from>
                    <xdr:col>9</xdr:col>
                    <xdr:colOff>91440</xdr:colOff>
                    <xdr:row>1</xdr:row>
                    <xdr:rowOff>22860</xdr:rowOff>
                  </from>
                  <to>
                    <xdr:col>10</xdr:col>
                    <xdr:colOff>83820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24" sqref="B2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3" t="s">
        <v>0</v>
      </c>
      <c r="C2" s="84"/>
      <c r="D2" s="84"/>
      <c r="E2" s="85"/>
    </row>
    <row r="3" spans="2:6">
      <c r="B3" s="24"/>
      <c r="C3" s="25"/>
      <c r="D3" s="25"/>
      <c r="E3" s="26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1">
        <v>101</v>
      </c>
      <c r="C5" s="27" t="s">
        <v>8</v>
      </c>
      <c r="D5" s="27" t="s">
        <v>9</v>
      </c>
      <c r="E5" s="28">
        <v>60000</v>
      </c>
    </row>
    <row r="6" spans="2:6">
      <c r="B6" s="21">
        <v>102</v>
      </c>
      <c r="C6" s="27" t="s">
        <v>11</v>
      </c>
      <c r="D6" s="27" t="s">
        <v>12</v>
      </c>
      <c r="E6" s="28">
        <v>1500</v>
      </c>
    </row>
    <row r="7" spans="2:6">
      <c r="B7" s="21">
        <v>103</v>
      </c>
      <c r="C7" s="27" t="s">
        <v>14</v>
      </c>
      <c r="D7" s="27" t="s">
        <v>15</v>
      </c>
      <c r="E7" s="28">
        <v>12500</v>
      </c>
    </row>
    <row r="8" spans="2:6">
      <c r="B8" s="21">
        <v>104</v>
      </c>
      <c r="C8" s="27" t="s">
        <v>17</v>
      </c>
      <c r="D8" s="27" t="s">
        <v>12</v>
      </c>
      <c r="E8" s="28">
        <v>5000</v>
      </c>
    </row>
    <row r="9" spans="2:6">
      <c r="B9" s="21">
        <v>105</v>
      </c>
      <c r="C9" s="27" t="s">
        <v>18</v>
      </c>
      <c r="D9" s="27" t="s">
        <v>12</v>
      </c>
      <c r="E9" s="28">
        <v>3400</v>
      </c>
    </row>
    <row r="10" spans="2:6">
      <c r="B10" s="21">
        <v>106</v>
      </c>
      <c r="C10" s="27" t="s">
        <v>19</v>
      </c>
      <c r="D10" s="27" t="s">
        <v>12</v>
      </c>
      <c r="E10" s="28">
        <v>1800</v>
      </c>
    </row>
    <row r="11" spans="2:6">
      <c r="B11" s="21">
        <v>107</v>
      </c>
      <c r="C11" s="27" t="s">
        <v>20</v>
      </c>
      <c r="D11" s="27" t="s">
        <v>12</v>
      </c>
      <c r="E11" s="28">
        <v>800</v>
      </c>
    </row>
    <row r="12" spans="2:6">
      <c r="B12" s="21">
        <v>108</v>
      </c>
      <c r="C12" s="27" t="s">
        <v>21</v>
      </c>
      <c r="D12" s="27" t="s">
        <v>9</v>
      </c>
      <c r="E12" s="28">
        <v>60000</v>
      </c>
    </row>
    <row r="13" spans="2:6">
      <c r="B13" s="21">
        <v>109</v>
      </c>
      <c r="C13" s="27" t="s">
        <v>22</v>
      </c>
      <c r="D13" s="27" t="s">
        <v>12</v>
      </c>
      <c r="E13" s="28">
        <v>980</v>
      </c>
    </row>
    <row r="14" spans="2:6" ht="18" thickBot="1">
      <c r="B14" s="22">
        <v>110</v>
      </c>
      <c r="C14" s="29" t="s">
        <v>23</v>
      </c>
      <c r="D14" s="29" t="s">
        <v>12</v>
      </c>
      <c r="E14" s="30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D18"/>
  <sheetViews>
    <sheetView workbookViewId="0">
      <selection activeCell="D12" sqref="D12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3" t="s">
        <v>1</v>
      </c>
      <c r="D2" s="85"/>
    </row>
    <row r="3" spans="2:4">
      <c r="C3" s="1"/>
      <c r="D3" s="2"/>
    </row>
    <row r="4" spans="2:4">
      <c r="B4" s="25"/>
      <c r="C4" s="3" t="s">
        <v>6</v>
      </c>
      <c r="D4" s="5" t="s">
        <v>7</v>
      </c>
    </row>
    <row r="5" spans="2:4">
      <c r="B5" s="31">
        <v>0</v>
      </c>
      <c r="C5" s="33" t="s">
        <v>10</v>
      </c>
      <c r="D5" s="32">
        <v>5000</v>
      </c>
    </row>
    <row r="6" spans="2:4">
      <c r="B6" s="31">
        <v>30000</v>
      </c>
      <c r="C6" s="33" t="s">
        <v>13</v>
      </c>
      <c r="D6" s="34">
        <v>3000</v>
      </c>
    </row>
    <row r="7" spans="2:4" ht="18" thickBot="1">
      <c r="B7" s="31">
        <v>100000</v>
      </c>
      <c r="C7" s="35" t="s">
        <v>16</v>
      </c>
      <c r="D7" s="30">
        <v>0</v>
      </c>
    </row>
    <row r="8" spans="2:4">
      <c r="C8" s="18"/>
      <c r="D8" s="19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2025-04-08T03:10:11Z</dcterms:modified>
  <cp:category/>
  <cp:contentStatus/>
</cp:coreProperties>
</file>