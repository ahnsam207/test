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836F34FA-1535-4C67-8575-D51814AD063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B6" i="6"/>
  <c r="F39" i="6" s="1"/>
  <c r="H32" i="6" l="1"/>
  <c r="H33" i="6" s="1"/>
  <c r="H35" i="6" l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<sst xmlns="http://schemas.openxmlformats.org/spreadsheetml/2006/main" count="58" uniqueCount="49">
  <si>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</si>
  <si>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</si>
  <si>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</si>
  <si>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</si>
  <si>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</si>
  <si>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</si>
  <si>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</si>
  <si>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</si>
  <si>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</si>
  <si>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</si>
  <si>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</si>
  <si>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</si>
  <si>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</si>
  <si>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</si>
  <si>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</si>
  <si>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</si>
  <si>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</si>
  <si>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</si>
  <si>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</si>
  <si>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</si>
  <si>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</si>
  <si>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</si>
  <si>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</si>
  <si>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</si>
  <si>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</si>
  <si>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</si>
  <si>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</si>
  <si>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</si>
  <si>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</si>
  <si>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</si>
  <si>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</si>
  <si>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</si>
  <si>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</si>
  <si>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</si>
  <si>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</si>
  <si>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</si>
  <si>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</si>
  <si>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</si>
  <si>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</si>
  <si>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</si>
  <si>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</si>
  <si>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</si>
  <si>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</si>
  <si>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</si>
  <si>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</si>
  <si>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사업장</t>
    <phoneticPr fontId="2" type="noConversion"/>
  </si>
  <si>
    <t>강서구 등촌동</t>
    <phoneticPr fontId="2" type="noConversion"/>
  </si>
  <si>
    <t>전화번호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</si>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</sst>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0</xdr:row>
      <xdr:rowOff>106680</xdr:rowOff>
    </xdr:from>
    <xdr:to>
      <xdr:col>7</xdr:col>
      <xdr:colOff>434340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1662DE7-D934-491D-BD1D-78253B8C05E0}"/>
            </a:ext>
          </a:extLst>
        </xdr:cNvPr>
        <xdr:cNvSpPr/>
      </xdr:nvSpPr>
      <xdr:spPr>
        <a:xfrm>
          <a:off x="1120140" y="106680"/>
          <a:ext cx="4312920" cy="57912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2800"/>
            <a:t>♣ 견적서 </a:t>
          </a:r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2800">
            <a:effectLst/>
          </a:endParaRPr>
        </a:p>
        <a:p>
          <a:pPr algn="ctr"/>
          <a:endParaRPr lang="ko-KR" alt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15240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4" zoomScaleNormal="100" workbookViewId="0">
      <selection activeCell="H32" sqref="H3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/>
      <c r="C5" s="66"/>
      <c r="D5" s="89" t="s">
        <v>38</v>
      </c>
      <c r="E5" s="9" t="s">
        <v>39</v>
      </c>
      <c r="F5" s="79" t="s">
        <v>40</v>
      </c>
      <c r="G5" s="80"/>
      <c r="H5" s="81"/>
      <c r="I5" s="60"/>
    </row>
    <row r="6" spans="1:52" ht="31.2">
      <c r="B6" s="87">
        <f ca="1">TODAY()</f>
        <v>45755</v>
      </c>
      <c r="C6" s="88"/>
      <c r="D6" s="90"/>
      <c r="E6" s="10" t="s">
        <v>41</v>
      </c>
      <c r="F6" s="11" t="s">
        <v>42</v>
      </c>
      <c r="G6" s="11" t="s">
        <v>43</v>
      </c>
      <c r="H6" s="12" t="s">
        <v>44</v>
      </c>
      <c r="I6" s="61"/>
    </row>
    <row r="7" spans="1:52" ht="16.5" customHeight="1">
      <c r="B7" s="13"/>
      <c r="C7" s="13"/>
      <c r="D7" s="90"/>
      <c r="E7" s="11" t="s">
        <v>45</v>
      </c>
      <c r="F7" s="67" t="s">
        <v>46</v>
      </c>
      <c r="G7" s="68"/>
      <c r="H7" s="69"/>
      <c r="I7" s="61"/>
    </row>
    <row r="8" spans="1:52" ht="16.5" customHeight="1" thickBot="1">
      <c r="B8" s="14"/>
      <c r="C8" s="14"/>
      <c r="D8" s="91"/>
      <c r="E8" s="21" t="s">
        <v>47</v>
      </c>
      <c r="F8" s="70" t="s">
        <v>48</v>
      </c>
      <c r="G8" s="71"/>
      <c r="H8" s="72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>
        <f>H35</f>
        <v>0</v>
      </c>
      <c r="F10" s="92"/>
      <c r="G10" s="92"/>
      <c r="H10" s="38" t="s">
        <v>25</v>
      </c>
    </row>
    <row r="11" spans="1:52" ht="18" customHeight="1">
      <c r="B11" s="39" t="s">
        <v>26</v>
      </c>
      <c r="C11" s="82" t="s">
        <v>3</v>
      </c>
      <c r="D11" s="83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/>
      <c r="C12" s="77" t="str">
        <f>IFERROR(VLOOKUP(B12,상품목록,2,0),"")</f>
        <v/>
      </c>
      <c r="D12" s="78"/>
      <c r="E12" s="40" t="str">
        <f>IFERROR(VLOOKUP(B12,상품목록,4,0),"")</f>
        <v/>
      </c>
      <c r="F12" s="16" t="str">
        <f>IFERROR(VLOOKUP(B12,상품목록,3,0),"")</f>
        <v/>
      </c>
      <c r="G12" s="41"/>
      <c r="H12" s="42" t="str">
        <f>IFERROR(E12*G12,"")</f>
        <v/>
      </c>
      <c r="I12" s="62"/>
    </row>
    <row r="13" spans="1:52">
      <c r="B13" s="17"/>
      <c r="C13" s="77" t="str">
        <f>IFERROR(VLOOKUP(B13,상품목록,2,0),"")</f>
        <v/>
      </c>
      <c r="D13" s="78"/>
      <c r="E13" s="40" t="str">
        <f>IFERROR(VLOOKUP(B13,상품목록,4,0),"")</f>
        <v/>
      </c>
      <c r="F13" s="16" t="str">
        <f>IFERROR(VLOOKUP(B13,상품목록,3,0),"")</f>
        <v/>
      </c>
      <c r="G13" s="41"/>
      <c r="H13" s="42" t="str">
        <f t="shared" ref="H13:H30" si="0">IFERROR(E13*G13,"")</f>
        <v/>
      </c>
      <c r="I13" s="62"/>
    </row>
    <row r="14" spans="1:52">
      <c r="B14" s="17"/>
      <c r="C14" s="77" t="str">
        <f>IFERROR(VLOOKUP(B14,상품목록,2,0),"")</f>
        <v/>
      </c>
      <c r="D14" s="78"/>
      <c r="E14" s="40" t="str">
        <f>IFERROR(VLOOKUP(B14,상품목록,4,0),"")</f>
        <v/>
      </c>
      <c r="F14" s="16" t="str">
        <f>IFERROR(VLOOKUP(B14,상품목록,3,0),"")</f>
        <v/>
      </c>
      <c r="G14" s="43"/>
      <c r="H14" s="42" t="str">
        <f t="shared" si="0"/>
        <v/>
      </c>
      <c r="I14" s="62"/>
    </row>
    <row r="15" spans="1:52">
      <c r="B15" s="17"/>
      <c r="C15" s="77" t="str">
        <f>IFERROR(VLOOKUP(B15,상품목록,2,0),"")</f>
        <v/>
      </c>
      <c r="D15" s="78"/>
      <c r="E15" s="40" t="str">
        <f>IFERROR(VLOOKUP(B15,상품목록,4,0),"")</f>
        <v/>
      </c>
      <c r="F15" s="16" t="str">
        <f>IFERROR(VLOOKUP(B15,상품목록,3,0),"")</f>
        <v/>
      </c>
      <c r="G15" s="43"/>
      <c r="H15" s="42" t="str">
        <f t="shared" si="0"/>
        <v/>
      </c>
      <c r="I15" s="62"/>
    </row>
    <row r="16" spans="1:52">
      <c r="B16" s="17"/>
      <c r="C16" s="77" t="str">
        <f>IFERROR(VLOOKUP(B16,상품목록,2,0),"")</f>
        <v/>
      </c>
      <c r="D16" s="78"/>
      <c r="E16" s="40" t="str">
        <f>IFERROR(VLOOKUP(B16,상품목록,4,0),"")</f>
        <v/>
      </c>
      <c r="F16" s="16" t="str">
        <f>IFERROR(VLOOKUP(B16,상품목록,3,0),"")</f>
        <v/>
      </c>
      <c r="G16" s="43"/>
      <c r="H16" s="42" t="str">
        <f t="shared" si="0"/>
        <v/>
      </c>
      <c r="I16" s="62"/>
    </row>
    <row r="17" spans="2:12">
      <c r="B17" s="17"/>
      <c r="C17" s="77" t="str">
        <f>IFERROR(VLOOKUP(B17,상품목록,2,0),"")</f>
        <v/>
      </c>
      <c r="D17" s="78"/>
      <c r="E17" s="40" t="str">
        <f>IFERROR(VLOOKUP(B17,상품목록,4,0),"")</f>
        <v/>
      </c>
      <c r="F17" s="16" t="str">
        <f>IFERROR(VLOOKUP(B17,상품목록,3,0),"")</f>
        <v/>
      </c>
      <c r="G17" s="43"/>
      <c r="H17" s="42" t="str">
        <f t="shared" si="0"/>
        <v/>
      </c>
      <c r="I17" s="62"/>
    </row>
    <row r="18" spans="2:12">
      <c r="B18" s="17"/>
      <c r="C18" s="77" t="str">
        <f>IFERROR(VLOOKUP(B18,상품목록,2,0),"")</f>
        <v/>
      </c>
      <c r="D18" s="78"/>
      <c r="E18" s="40" t="str">
        <f>IFERROR(VLOOKUP(B18,상품목록,4,0),"")</f>
        <v/>
      </c>
      <c r="F18" s="16" t="str">
        <f>IFERROR(VLOOKUP(B18,상품목록,3,0),"")</f>
        <v/>
      </c>
      <c r="G18" s="43"/>
      <c r="H18" s="42" t="str">
        <f t="shared" si="0"/>
        <v/>
      </c>
      <c r="I18" s="62"/>
    </row>
    <row r="19" spans="2:12">
      <c r="B19" s="17"/>
      <c r="C19" s="77" t="str">
        <f>IFERROR(VLOOKUP(B19,상품목록,2,0),"")</f>
        <v/>
      </c>
      <c r="D19" s="78"/>
      <c r="E19" s="40" t="str">
        <f>IFERROR(VLOOKUP(B19,상품목록,4,0),"")</f>
        <v/>
      </c>
      <c r="F19" s="16" t="str">
        <f>IFERROR(VLOOKUP(B19,상품목록,3,0),"")</f>
        <v/>
      </c>
      <c r="G19" s="43"/>
      <c r="H19" s="42" t="str">
        <f t="shared" si="0"/>
        <v/>
      </c>
      <c r="I19" s="62"/>
    </row>
    <row r="20" spans="2:12">
      <c r="B20" s="17"/>
      <c r="C20" s="77" t="str">
        <f>IFERROR(VLOOKUP(B20,상품목록,2,0),"")</f>
        <v/>
      </c>
      <c r="D20" s="78"/>
      <c r="E20" s="40" t="str">
        <f>IFERROR(VLOOKUP(B20,상품목록,4,0),"")</f>
        <v/>
      </c>
      <c r="F20" s="16" t="str">
        <f>IFERROR(VLOOKUP(B20,상품목록,3,0),"")</f>
        <v/>
      </c>
      <c r="G20" s="43"/>
      <c r="H20" s="42" t="str">
        <f t="shared" si="0"/>
        <v/>
      </c>
      <c r="I20" s="62"/>
    </row>
    <row r="21" spans="2:12">
      <c r="B21" s="17"/>
      <c r="C21" s="77" t="str">
        <f>IFERROR(VLOOKUP(B21,상품목록,2,0),"")</f>
        <v/>
      </c>
      <c r="D21" s="78"/>
      <c r="E21" s="40" t="str">
        <f>IFERROR(VLOOKUP(B21,상품목록,4,0),"")</f>
        <v/>
      </c>
      <c r="F21" s="16" t="str">
        <f>IFERROR(VLOOKUP(B21,상품목록,3,0),"")</f>
        <v/>
      </c>
      <c r="G21" s="43"/>
      <c r="H21" s="42" t="str">
        <f t="shared" si="0"/>
        <v/>
      </c>
      <c r="I21" s="62"/>
    </row>
    <row r="22" spans="2:12">
      <c r="B22" s="17"/>
      <c r="C22" s="77" t="str">
        <f>IFERROR(VLOOKUP(B22,상품목록,2,0),"")</f>
        <v/>
      </c>
      <c r="D22" s="78"/>
      <c r="E22" s="40" t="str">
        <f>IFERROR(VLOOKUP(B22,상품목록,4,0),"")</f>
        <v/>
      </c>
      <c r="F22" s="16" t="str">
        <f>IFERROR(VLOOKUP(B22,상품목록,3,0),"")</f>
        <v/>
      </c>
      <c r="G22" s="43"/>
      <c r="H22" s="42" t="str">
        <f t="shared" si="0"/>
        <v/>
      </c>
      <c r="I22" s="62"/>
    </row>
    <row r="23" spans="2:12">
      <c r="B23" s="17"/>
      <c r="C23" s="77" t="str">
        <f>IFERROR(VLOOKUP(B23,상품목록,2,0),"")</f>
        <v/>
      </c>
      <c r="D23" s="78"/>
      <c r="E23" s="40" t="str">
        <f>IFERROR(VLOOKUP(B23,상품목록,4,0),"")</f>
        <v/>
      </c>
      <c r="F23" s="16" t="str">
        <f>IFERROR(VLOOKUP(B23,상품목록,3,0),"")</f>
        <v/>
      </c>
      <c r="G23" s="43"/>
      <c r="H23" s="42" t="str">
        <f t="shared" si="0"/>
        <v/>
      </c>
      <c r="I23" s="62"/>
    </row>
    <row r="24" spans="2:12">
      <c r="B24" s="17"/>
      <c r="C24" s="77" t="str">
        <f>IFERROR(VLOOKUP(B24,상품목록,2,0),"")</f>
        <v/>
      </c>
      <c r="D24" s="78"/>
      <c r="E24" s="40" t="str">
        <f>IFERROR(VLOOKUP(B24,상품목록,4,0),"")</f>
        <v/>
      </c>
      <c r="F24" s="16" t="str">
        <f>IFERROR(VLOOKUP(B24,상품목록,3,0),"")</f>
        <v/>
      </c>
      <c r="G24" s="43"/>
      <c r="H24" s="42" t="str">
        <f t="shared" si="0"/>
        <v/>
      </c>
      <c r="I24" s="62"/>
    </row>
    <row r="25" spans="2:12">
      <c r="B25" s="17"/>
      <c r="C25" s="77" t="str">
        <f>IFERROR(VLOOKUP(B25,상품목록,2,0),"")</f>
        <v/>
      </c>
      <c r="D25" s="78"/>
      <c r="E25" s="40" t="str">
        <f>IFERROR(VLOOKUP(B25,상품목록,4,0),"")</f>
        <v/>
      </c>
      <c r="F25" s="16" t="str">
        <f>IFERROR(VLOOKUP(B25,상품목록,3,0),"")</f>
        <v/>
      </c>
      <c r="G25" s="43"/>
      <c r="H25" s="42" t="str">
        <f t="shared" si="0"/>
        <v/>
      </c>
      <c r="I25" s="62"/>
    </row>
    <row r="26" spans="2:12">
      <c r="B26" s="17"/>
      <c r="C26" s="77" t="str">
        <f>IFERROR(VLOOKUP(B26,상품목록,2,0),"")</f>
        <v/>
      </c>
      <c r="D26" s="78"/>
      <c r="E26" s="40" t="str">
        <f>IFERROR(VLOOKUP(B26,상품목록,4,0),"")</f>
        <v/>
      </c>
      <c r="F26" s="16" t="str">
        <f>IFERROR(VLOOKUP(B26,상품목록,3,0),"")</f>
        <v/>
      </c>
      <c r="G26" s="43"/>
      <c r="H26" s="42" t="str">
        <f t="shared" si="0"/>
        <v/>
      </c>
      <c r="I26" s="62"/>
    </row>
    <row r="27" spans="2:12">
      <c r="B27" s="17"/>
      <c r="C27" s="77" t="str">
        <f>IFERROR(VLOOKUP(B27,상품목록,2,0),"")</f>
        <v/>
      </c>
      <c r="D27" s="78"/>
      <c r="E27" s="40" t="str">
        <f>IFERROR(VLOOKUP(B27,상품목록,4,0),"")</f>
        <v/>
      </c>
      <c r="F27" s="16" t="str">
        <f>IFERROR(VLOOKUP(B27,상품목록,3,0),"")</f>
        <v/>
      </c>
      <c r="G27" s="43"/>
      <c r="H27" s="42" t="str">
        <f t="shared" si="0"/>
        <v/>
      </c>
      <c r="I27" s="62"/>
    </row>
    <row r="28" spans="2:12">
      <c r="B28" s="17"/>
      <c r="C28" s="77" t="str">
        <f>IFERROR(VLOOKUP(B28,상품목록,2,0),"")</f>
        <v/>
      </c>
      <c r="D28" s="78"/>
      <c r="E28" s="40" t="str">
        <f>IFERROR(VLOOKUP(B28,상품목록,4,0),"")</f>
        <v/>
      </c>
      <c r="F28" s="16" t="str">
        <f>IFERROR(VLOOKUP(B28,상품목록,3,0),"")</f>
        <v/>
      </c>
      <c r="G28" s="43"/>
      <c r="H28" s="42" t="str">
        <f t="shared" si="0"/>
        <v/>
      </c>
      <c r="I28" s="62"/>
      <c r="J28" s="44"/>
      <c r="L28" s="44"/>
    </row>
    <row r="29" spans="2:12">
      <c r="B29" s="17"/>
      <c r="C29" s="77" t="str">
        <f>IFERROR(VLOOKUP(B29,상품목록,2,0),"")</f>
        <v/>
      </c>
      <c r="D29" s="78"/>
      <c r="E29" s="40" t="str">
        <f>IFERROR(VLOOKUP(B29,상품목록,4,0),"")</f>
        <v/>
      </c>
      <c r="F29" s="16" t="str">
        <f>IFERROR(VLOOKUP(B29,상품목록,3,0),"")</f>
        <v/>
      </c>
      <c r="G29" s="43"/>
      <c r="H29" s="42" t="str">
        <f t="shared" si="0"/>
        <v/>
      </c>
      <c r="I29" s="62"/>
      <c r="J29" s="44"/>
      <c r="L29" s="44"/>
    </row>
    <row r="30" spans="2:12">
      <c r="B30" s="17"/>
      <c r="C30" s="77" t="str">
        <f>IFERROR(VLOOKUP(B30,상품목록,2,0),"")</f>
        <v/>
      </c>
      <c r="D30" s="78"/>
      <c r="E30" s="40" t="str">
        <f>IFERROR(VLOOKUP(B30,상품목록,4,0),"")</f>
        <v/>
      </c>
      <c r="F30" s="16" t="str">
        <f>IFERROR(VLOOKUP(B30,상품목록,3,0),"")</f>
        <v/>
      </c>
      <c r="G30" s="43"/>
      <c r="H30" s="42" t="str">
        <f t="shared" si="0"/>
        <v/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>
        <f>SUM(H12:H30)</f>
        <v>0</v>
      </c>
      <c r="I32" s="45"/>
      <c r="K32" s="44"/>
      <c r="L32" s="44"/>
    </row>
    <row r="33" spans="4:12">
      <c r="F33" s="73" t="s">
        <v>31</v>
      </c>
      <c r="G33" s="74"/>
      <c r="H33" s="46">
        <f>H32*0.1</f>
        <v>0</v>
      </c>
      <c r="I33" s="45"/>
      <c r="J33" s="44"/>
      <c r="K33" s="44"/>
      <c r="L33" s="44"/>
    </row>
    <row r="34" spans="4:12">
      <c r="F34" s="75" t="s">
        <v>32</v>
      </c>
      <c r="G34" s="75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>
        <f>SUM(H32:H34)</f>
        <v>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>
        <f ca="1">B6+10</f>
        <v>45765</v>
      </c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4" t="s">
        <v>0</v>
      </c>
      <c r="C2" s="85"/>
      <c r="D2" s="85"/>
      <c r="E2" s="86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4" t="s">
        <v>1</v>
      </c>
      <c r="D2" s="86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2025-04-08T03:06:22Z</dcterms:modified>
  <cp:category/>
  <cp:contentStatus/>
</cp:coreProperties>
</file>